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<sst xmlns="http://schemas.openxmlformats.org/spreadsheetml/2006/main" count="16" uniqueCount="15">
  <si>
    <t>Наименование показателей</t>
  </si>
  <si>
    <t>годы</t>
  </si>
  <si>
    <t>Коэффициент дисконтирования</t>
  </si>
  <si>
    <t>Чистый денежный поток, тыс.руб.</t>
  </si>
  <si>
    <t>Чистый дисконтированный денежный поток, тыс.руб.</t>
  </si>
  <si>
    <t>То же нарастающим итогом, тыс.руб</t>
  </si>
  <si>
    <t>Инвестиции</t>
  </si>
  <si>
    <t>DNCF - I</t>
  </si>
  <si>
    <t>Инвестииции</t>
  </si>
  <si>
    <t>Ставка дисконта</t>
  </si>
  <si>
    <t>0.25</t>
  </si>
  <si>
    <t>Индекс доходности</t>
  </si>
  <si>
    <t>t1</t>
  </si>
  <si>
    <t>t2</t>
  </si>
  <si>
    <t>DPBP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</si>
</sst>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4.0"/>
      <color rgb="FF000000"/>
      <name val="&quot;Times New Roman&quot;"/>
    </font>
    <font/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vertical="top"/>
    </xf>
    <xf borderId="2" fillId="0" fontId="1" numFmtId="0" xfId="0" applyAlignment="1" applyBorder="1" applyFont="1">
      <alignment readingOrder="0" vertical="top"/>
    </xf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1" numFmtId="0" xfId="0" applyAlignment="1" applyBorder="1" applyFont="1">
      <alignment readingOrder="0" vertical="top"/>
    </xf>
    <xf borderId="6" fillId="0" fontId="3" numFmtId="0" xfId="0" applyAlignment="1" applyBorder="1" applyFont="1">
      <alignment readingOrder="0" vertical="top"/>
    </xf>
    <xf borderId="6" fillId="0" fontId="3" numFmtId="0" xfId="0" applyAlignment="1" applyBorder="1" applyFont="1">
      <alignment vertical="top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3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Динамика NPV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'Лист1'!$A$9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'Лист1'!$B$2:$F$2</c:f>
            </c:strRef>
          </c:cat>
          <c:val>
            <c:numRef>
              <c:f>'Лист1'!$B$9:$F$9</c:f>
              <c:numCache/>
            </c:numRef>
          </c:val>
          <c:smooth val="1"/>
        </c:ser>
        <c:axId val="2128591387"/>
        <c:axId val="704128171"/>
      </c:lineChart>
      <c:catAx>
        <c:axId val="21285913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04128171"/>
      </c:catAx>
      <c:valAx>
        <c:axId val="70412817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NPV (тыс. руб)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2859138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2371725</xdr:colOff>
      <xdr:row>19</xdr:row>
      <xdr:rowOff>123825</xdr:rowOff>
    </xdr:from>
    <xdr:ext cx="7000875" cy="3533775"/>
    <xdr:graphicFrame>
      <xdr:nvGraphicFramePr>
        <xdr:cNvPr id="1" name="Chart 1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3.25"/>
  </cols>
  <sheetData>
    <row r="1">
      <c r="A1" s="1" t="s">
        <v>0</v>
      </c>
      <c r="B1" s="2" t="s">
        <v>1</v>
      </c>
      <c r="C1" s="3"/>
      <c r="D1" s="3"/>
      <c r="E1" s="3"/>
      <c r="F1" s="4"/>
    </row>
    <row r="2">
      <c r="A2" s="5"/>
      <c r="B2" s="6">
        <v>0.0</v>
      </c>
      <c r="C2" s="6">
        <v>1.0</v>
      </c>
      <c r="D2" s="6">
        <v>2.0</v>
      </c>
      <c r="E2" s="6">
        <v>3.0</v>
      </c>
      <c r="F2" s="6">
        <v>4.0</v>
      </c>
    </row>
    <row r="3">
      <c r="A3" s="6" t="s">
        <v>2</v>
      </c>
      <c r="B3" s="6">
        <v>1.0</v>
      </c>
      <c r="C3" s="7">
        <v>0.8</v>
      </c>
      <c r="D3" s="7">
        <v>0.64</v>
      </c>
      <c r="E3" s="7">
        <v>0.512</v>
      </c>
      <c r="F3" s="7">
        <v>0.4096</v>
      </c>
    </row>
    <row r="4">
      <c r="A4" s="6" t="s">
        <v>3</v>
      </c>
      <c r="B4" s="8"/>
      <c r="C4" s="7">
        <v>740.0</v>
      </c>
      <c r="D4" s="7">
        <v>2150.0</v>
      </c>
      <c r="E4" s="7">
        <v>3940.0</v>
      </c>
      <c r="F4" s="7">
        <v>4250.0</v>
      </c>
    </row>
    <row r="5">
      <c r="A5" s="6" t="s">
        <v>4</v>
      </c>
      <c r="B5" s="8">
        <f t="shared" ref="B5:F5" si="1">B4*B3</f>
        <v>0</v>
      </c>
      <c r="C5" s="8">
        <f t="shared" si="1"/>
        <v>592</v>
      </c>
      <c r="D5" s="8">
        <f t="shared" si="1"/>
        <v>1376</v>
      </c>
      <c r="E5" s="8">
        <f t="shared" si="1"/>
        <v>2017.28</v>
      </c>
      <c r="F5" s="8">
        <f t="shared" si="1"/>
        <v>1740.8</v>
      </c>
    </row>
    <row r="6">
      <c r="A6" s="6" t="s">
        <v>5</v>
      </c>
      <c r="B6" s="8">
        <f>B5</f>
        <v>0</v>
      </c>
      <c r="C6" s="8">
        <f t="shared" ref="C6:F6" si="2">B6+C5</f>
        <v>592</v>
      </c>
      <c r="D6" s="8">
        <f t="shared" si="2"/>
        <v>1968</v>
      </c>
      <c r="E6" s="8">
        <f t="shared" si="2"/>
        <v>3985.28</v>
      </c>
      <c r="F6" s="8">
        <f t="shared" si="2"/>
        <v>5726.08</v>
      </c>
    </row>
    <row r="7">
      <c r="A7" s="9" t="s">
        <v>6</v>
      </c>
      <c r="B7" s="9">
        <v>4500.0</v>
      </c>
      <c r="C7" s="9">
        <v>0.0</v>
      </c>
      <c r="D7" s="9">
        <v>0.0</v>
      </c>
      <c r="E7" s="9">
        <v>0.0</v>
      </c>
      <c r="F7" s="9">
        <v>0.0</v>
      </c>
    </row>
    <row r="8">
      <c r="A8" s="9" t="s">
        <v>7</v>
      </c>
      <c r="B8" s="10">
        <f t="shared" ref="B8:F8" si="3">B6-B7</f>
        <v>-4500</v>
      </c>
      <c r="C8" s="10">
        <f t="shared" si="3"/>
        <v>592</v>
      </c>
      <c r="D8" s="10">
        <f t="shared" si="3"/>
        <v>1968</v>
      </c>
      <c r="E8" s="10">
        <f t="shared" si="3"/>
        <v>3985.28</v>
      </c>
      <c r="F8" s="10">
        <f t="shared" si="3"/>
        <v>5726.08</v>
      </c>
    </row>
    <row r="9">
      <c r="A9" s="6" t="s">
        <v>5</v>
      </c>
      <c r="B9" s="10">
        <f>B8</f>
        <v>-4500</v>
      </c>
      <c r="C9" s="10">
        <f t="shared" ref="C9:F9" si="4">B9+C8</f>
        <v>-3908</v>
      </c>
      <c r="D9" s="10">
        <f t="shared" si="4"/>
        <v>-1940</v>
      </c>
      <c r="E9" s="10">
        <f t="shared" si="4"/>
        <v>2045.28</v>
      </c>
      <c r="F9" s="10">
        <f t="shared" si="4"/>
        <v>7771.36</v>
      </c>
    </row>
    <row r="11">
      <c r="A11" s="9" t="s">
        <v>8</v>
      </c>
      <c r="B11" s="9">
        <v>4500.0</v>
      </c>
    </row>
    <row r="12">
      <c r="A12" s="9" t="s">
        <v>9</v>
      </c>
      <c r="B12" s="11">
        <v>0.25</v>
      </c>
      <c r="C12" s="9" t="s">
        <v>10</v>
      </c>
    </row>
    <row r="14">
      <c r="A14" s="9" t="s">
        <v>11</v>
      </c>
      <c r="B14" s="10">
        <f>F6/B11</f>
        <v>1.272462222</v>
      </c>
    </row>
    <row r="17">
      <c r="A17" s="9" t="s">
        <v>12</v>
      </c>
      <c r="B17" s="9">
        <v>2.0</v>
      </c>
      <c r="C17" s="10">
        <f>D9</f>
        <v>-1940</v>
      </c>
    </row>
    <row r="18">
      <c r="A18" s="9" t="s">
        <v>13</v>
      </c>
      <c r="B18" s="9">
        <v>3.0</v>
      </c>
      <c r="C18" s="10">
        <f>E9</f>
        <v>2045.28</v>
      </c>
    </row>
    <row r="19">
      <c r="A19" s="9" t="s">
        <v>14</v>
      </c>
      <c r="B19" s="10">
        <f>B17+ABS(C17)*(B18-B17)/(C18+ABS(C17))</f>
        <v>2.486791392</v>
      </c>
    </row>
  </sheetData>
  <mergeCells count="2">
    <mergeCell ref="A1:A2"/>
    <mergeCell ref="B1:F1"/>
  </mergeCells>
  <drawing r:id="rId1"/>
</worksheet>
</file>